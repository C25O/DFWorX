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g/Developer/00-Claude/DFWorx/docs/"/>
    </mc:Choice>
  </mc:AlternateContent>
  <xr:revisionPtr revIDLastSave="0" documentId="8_{E03A817E-B385-5348-9341-E53207EFF866}" xr6:coauthVersionLast="47" xr6:coauthVersionMax="47" xr10:uidLastSave="{00000000-0000-0000-0000-000000000000}"/>
  <bookViews>
    <workbookView xWindow="4880" yWindow="680" windowWidth="20480" windowHeight="11760" activeTab="1" xr2:uid="{E4202853-9162-BE4B-AE35-4BFC0D338956}"/>
  </bookViews>
  <sheets>
    <sheet name="gold-calc" sheetId="1" r:id="rId1"/>
    <sheet name="Inv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2" l="1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E18" i="1"/>
  <c r="D15" i="1"/>
  <c r="F16" i="1"/>
  <c r="E12" i="1"/>
  <c r="G12" i="1" s="1"/>
  <c r="H12" i="1" s="1"/>
  <c r="E10" i="1"/>
  <c r="G10" i="1" s="1"/>
  <c r="H10" i="1" s="1"/>
  <c r="G8" i="1"/>
  <c r="H8" i="1" s="1"/>
  <c r="F12" i="1"/>
  <c r="F10" i="1"/>
  <c r="F8" i="1"/>
  <c r="E8" i="1"/>
  <c r="K2" i="1"/>
</calcChain>
</file>

<file path=xl/sharedStrings.xml><?xml version="1.0" encoding="utf-8"?>
<sst xmlns="http://schemas.openxmlformats.org/spreadsheetml/2006/main" count="253" uniqueCount="185">
  <si>
    <t>1 G</t>
  </si>
  <si>
    <t>Date</t>
  </si>
  <si>
    <t>USD - EGP</t>
  </si>
  <si>
    <t>Unit EGP</t>
  </si>
  <si>
    <t>Unit USD</t>
  </si>
  <si>
    <t>Full EGP</t>
  </si>
  <si>
    <t>Full USD</t>
  </si>
  <si>
    <t>Size</t>
  </si>
  <si>
    <t>Investment Portfolio Management dashboard</t>
  </si>
  <si>
    <t>Portfolio Management Dashboard</t>
  </si>
  <si>
    <t>Portfolio Dashboard Template</t>
  </si>
  <si>
    <t xml:space="preserve">Investments Dashboards </t>
  </si>
  <si>
    <t>Investment Admin Template</t>
  </si>
  <si>
    <t>Investment WebApp Template</t>
  </si>
  <si>
    <t>Mutual Funds Admin Template</t>
  </si>
  <si>
    <t>Investment Transactions Dashboard</t>
  </si>
  <si>
    <t>Investment Dashboard Ui Kit</t>
  </si>
  <si>
    <t xml:space="preserve">Invest Ui Framework </t>
  </si>
  <si>
    <t xml:space="preserve">Investment Software Admin Template </t>
  </si>
  <si>
    <t>Invest Software Dashboard</t>
  </si>
  <si>
    <t>dashboard html clean responsive template</t>
  </si>
  <si>
    <t>Creative Bootstrap Dashboard</t>
  </si>
  <si>
    <t>Bootstrap Admin Themes</t>
  </si>
  <si>
    <t>Multipurpose Admin Dashboard Template</t>
  </si>
  <si>
    <t>Light Bootstrap Dashboard</t>
  </si>
  <si>
    <t>Bootstrap website templates</t>
  </si>
  <si>
    <t>Bootstrap UI Toolkits</t>
  </si>
  <si>
    <t>HTML admin dashboard template</t>
  </si>
  <si>
    <t>HTML5 Admin Dashboard Template</t>
  </si>
  <si>
    <t>Bootstrap Admin Dashboard designs</t>
  </si>
  <si>
    <t>admin template based on Bootstrap</t>
  </si>
  <si>
    <t>Bootstrap frameworks</t>
  </si>
  <si>
    <t>Bootstrap admin and dashboard templates</t>
  </si>
  <si>
    <t>admin template based on Bootstrap framework</t>
  </si>
  <si>
    <t>Premium Admin dashboard Template</t>
  </si>
  <si>
    <t>Bootstrap simple admin template</t>
  </si>
  <si>
    <t>Bootstrap admin theme</t>
  </si>
  <si>
    <t>responsive admin templates</t>
  </si>
  <si>
    <t>premium Bootstrap admin templates</t>
  </si>
  <si>
    <t>Admin Dashboard &amp; WebApp Template</t>
  </si>
  <si>
    <t>Bootstrap Dashboard Designs</t>
  </si>
  <si>
    <t>responsive administration template</t>
  </si>
  <si>
    <t>WebApp Dahsboard UI</t>
  </si>
  <si>
    <t>Control panel theme</t>
  </si>
  <si>
    <t>Bootstrap Admin Templates Webapps</t>
  </si>
  <si>
    <t>Bootstrap Admin Dashboard Templates 2025</t>
  </si>
  <si>
    <t>Bootstrap designed dashboard theme</t>
  </si>
  <si>
    <t>Bootstrap Dashboard Clean Design</t>
  </si>
  <si>
    <t>Bootstrap framework</t>
  </si>
  <si>
    <t>open source admin dashboard</t>
  </si>
  <si>
    <t>css grid admin template</t>
  </si>
  <si>
    <t>css grid admin layout</t>
  </si>
  <si>
    <t>html css admin</t>
  </si>
  <si>
    <t>responsive admin dashboard template html css</t>
  </si>
  <si>
    <t>admin page</t>
  </si>
  <si>
    <t>admin page html css</t>
  </si>
  <si>
    <t>sidebar menu html css</t>
  </si>
  <si>
    <t>sidebar html css</t>
  </si>
  <si>
    <t>html sidebar menu</t>
  </si>
  <si>
    <t>css sidebar menu</t>
  </si>
  <si>
    <t>code resource</t>
  </si>
  <si>
    <t xml:space="preserve">-  </t>
  </si>
  <si>
    <t>Category</t>
  </si>
  <si>
    <t>Dependency</t>
  </si>
  <si>
    <t>Purpose</t>
  </si>
  <si>
    <t>Codebase</t>
  </si>
  <si>
    <t>GitHub</t>
  </si>
  <si>
    <t>Version control and source of truth for CI/CD.</t>
  </si>
  <si>
    <t>Deployment</t>
  </si>
  <si>
    <t>Coolify</t>
  </si>
  <si>
    <t>Self-hosting platform for the application, database, and automation tools.</t>
  </si>
  <si>
    <t>Database</t>
  </si>
  <si>
    <t>PostgreSQL / Supabase</t>
  </si>
  <si>
    <t>The primary data store for all financial records and user data.</t>
  </si>
  <si>
    <t>Automation</t>
  </si>
  <si>
    <t>n8n / ActivePieces</t>
  </si>
  <si>
    <t>No-code/low-code platform for building the automation worker (e.g., fetching gold prices).</t>
  </si>
  <si>
    <t>Frontend Stack</t>
  </si>
  <si>
    <t>Next.js / SvelteKit</t>
  </si>
  <si>
    <t>The core application framework.</t>
  </si>
  <si>
    <t>UI/Styling</t>
  </si>
  <si>
    <t>Tailwind CSS</t>
  </si>
  <si>
    <t>Utility-first CSS framework for styling.</t>
  </si>
  <si>
    <t>UI Components</t>
  </si>
  <si>
    <t>Shadcn-UI</t>
  </si>
  <si>
    <t>Pre-built, accessible components for building the UI (includes charts).</t>
  </si>
  <si>
    <t>Visualization</t>
  </si>
  <si>
    <t>ReactFlow / SvelteFlow</t>
  </si>
  <si>
    <t>(Optional) For potential node-based visualizations of asset structures.</t>
  </si>
  <si>
    <t>Data (External)</t>
  </si>
  <si>
    <t>Gold Price API</t>
  </si>
  <si>
    <t>Backend</t>
  </si>
  <si>
    <t>Password Hashing Library</t>
  </si>
  <si>
    <t>A simple API (e.g., goldapi.io, or other free/paid commodity feeds) to get daily XAU prices.</t>
  </si>
  <si>
    <t>(e.g., bcrypt or Supabase Auth). To securely manage user credentials.</t>
  </si>
  <si>
    <t>Requirement</t>
  </si>
  <si>
    <t>Description</t>
  </si>
  <si>
    <t>DR1.0</t>
  </si>
  <si>
    <t>Responsiveness</t>
  </si>
  <si>
    <t>The entire UI must be fully responsive (desktop/mobile).</t>
  </si>
  <si>
    <t>DR2.0</t>
  </si>
  <si>
    <t>Data Visualization</t>
  </si>
  <si>
    <t>DR3.0</t>
  </si>
  <si>
    <t>Clarity &amp; Simplicity</t>
  </si>
  <si>
    <t>DR4.0</t>
  </si>
  <si>
    <t>Contingency View</t>
  </si>
  <si>
    <t>The "Family User" view must be visually distinct, simplified, and clearly marked as "Read-Only."</t>
  </si>
  <si>
    <t>Use clear, modern data visualizations (e.g., line charts for history, pie charts for allocation) via Shadcn-UI's chart components (which use Recharts).</t>
  </si>
  <si>
    <t>The UI must be clean, uncluttered, and built with Tailwind CSS and Shadcn-UI components for a modern, professional feel.</t>
  </si>
  <si>
    <t>ID</t>
  </si>
  <si>
    <t>TR1.0</t>
  </si>
  <si>
    <t>Architecture</t>
  </si>
  <si>
    <t>TR2.0</t>
  </si>
  <si>
    <t>TR3.0</t>
  </si>
  <si>
    <t>Security</t>
  </si>
  <si>
    <t>All sensitive data must be encrypted at rest and in transit (HTTPS/TLS enforced, managed by Coolify/Supabase).</t>
  </si>
  <si>
    <t>TR4.0</t>
  </si>
  <si>
    <t>Data Automation</t>
  </si>
  <si>
    <t>TR5.0</t>
  </si>
  <si>
    <t>Backup System</t>
  </si>
  <si>
    <t>Implement a scheduled, automated backup strategy for the database (natively supported by Supabase or configured in Coolify).</t>
  </si>
  <si>
    <t>Must be a self-hosted application via Coolify, with the codebase managed on GitHub.</t>
  </si>
  <si>
    <t>Utilize PostgreSQL (managed via Supabase or self-hosted) to store all user and financial data.</t>
  </si>
  <si>
    <t>The Automation/Worker component must integrate with n8n or ActivePieces to retrieve the daily gold price from an external API.</t>
  </si>
  <si>
    <t>FR1.0</t>
  </si>
  <si>
    <t>Secure Authentication</t>
  </si>
  <si>
    <t>Robust authentication for Primary User and designated Family Users.</t>
  </si>
  <si>
    <t>FR2.0</t>
  </si>
  <si>
    <t>Asset Management</t>
  </si>
  <si>
    <t>FR3.0</t>
  </si>
  <si>
    <t>Net Worth Calculation</t>
  </si>
  <si>
    <t>A dynamic calculation of Total Net Worth updated nightly by the worker (for gold) or immediately upon manual data entry (for real-estate).</t>
  </si>
  <si>
    <t>FR4.0</t>
  </si>
  <si>
    <t>Portfolio Breakdown</t>
  </si>
  <si>
    <t>Visual components (e.g., Pie Chart) showing portfolio allocation by asset type (Real-estate vs. Gold).</t>
  </si>
  <si>
    <t>FR5.0</t>
  </si>
  <si>
    <t>Historical Logging</t>
  </si>
  <si>
    <t>Automated daily worker job to snapshot and log the valuation of gold assets. Manual updates to real-estate values should also be logged to maintain history.</t>
  </si>
  <si>
    <t>FR6.0</t>
  </si>
  <si>
    <t>A separate, read-only interface accessible only by Family Users, showing summary data.</t>
  </si>
  <si>
    <t>FR7.0</t>
  </si>
  <si>
    <t>Transaction Log</t>
  </si>
  <si>
    <t>Dedicated section for logging buy/sell transactions (e.g., "Bought 10oz Gold," "Sold Property X").</t>
  </si>
  <si>
    <t>Ability to add, edit, and delete investments (initially limited to Real-estate and Gold) with fields for Name/Description, Quantity, Cost Basis, and Acquisition Date.</t>
  </si>
  <si>
    <t>Metric Category</t>
  </si>
  <si>
    <t>Metric</t>
  </si>
  <si>
    <t>Goal</t>
  </si>
  <si>
    <t>Data Integrity</t>
  </si>
  <si>
    <t>% of Asset Data Fidelity</t>
  </si>
  <si>
    <t>100% alignment between Mine-D records and external statements/appraisals.</t>
  </si>
  <si>
    <t>Usability</t>
  </si>
  <si>
    <t>Monthly Active Logins (Primary User)</t>
  </si>
  <si>
    <t>4+ sessions per month (minimum weekly check-in).</t>
  </si>
  <si>
    <t>System Health</t>
  </si>
  <si>
    <t>Automation Worker Success Rate</t>
  </si>
  <si>
    <t>&gt; 99.9% daily gold price updates completed successfully.</t>
  </si>
  <si>
    <t>Contingency</t>
  </si>
  <si>
    <t>% of Family Members Set Up</t>
  </si>
  <si>
    <t>100% of designated family members set up with their view-only accounts.</t>
  </si>
  <si>
    <t>As a...</t>
  </si>
  <si>
    <t>I want to...</t>
  </si>
  <si>
    <t>So that...</t>
  </si>
  <si>
    <t>Priority</t>
  </si>
  <si>
    <t>P-1</t>
  </si>
  <si>
    <t>Primary User (Investor)</t>
  </si>
  <si>
    <t>I can establish a complete and accurate baseline for my v1.0 net worth.</t>
  </si>
  <si>
    <t>High</t>
  </si>
  <si>
    <t>P-2</t>
  </si>
  <si>
    <t>See my total net worth, portfolio allocation (by asset class), and overall P&amp;L (Profit &amp; Loss) on a single dashboard.</t>
  </si>
  <si>
    <t>I can quickly assess the health and diversification of my portfolio upon logging in.</t>
  </si>
  <si>
    <t>P-3</t>
  </si>
  <si>
    <t>View historical performance charts for my total portfolio and individual assets over custom timeframes (1Y, 5Y, Max).</t>
  </si>
  <si>
    <t>I can analyze long-term investment strategies and measure ROI accurately.</t>
  </si>
  <si>
    <t>P-4</t>
  </si>
  <si>
    <t>My family members have a documented, up-to-date overview of my wealth for contingency planning.</t>
  </si>
  <si>
    <t>A-1</t>
  </si>
  <si>
    <t>Automation/Worker</t>
  </si>
  <si>
    <t>The value of my gold holdings remains current without requiring manual updates.</t>
  </si>
  <si>
    <t>Medium</t>
  </si>
  <si>
    <t>A-2</t>
  </si>
  <si>
    <t>Access an Admin Panel to run manual data backups and perform manual data corrections (e.g., update real-estate valuation).</t>
  </si>
  <si>
    <t>I have full control and auditability over my financial data integrity.</t>
  </si>
  <si>
    <t>Manually input all my real-estate and gold assets, with initial cost basis, date, and other relevant details (e.g., address for RE, weight for gold).</t>
  </si>
  <si>
    <t>Designate one or more family members with view-only, read-access credentials to a separate, simplified dashboard.</t>
  </si>
  <si>
    <t>Automatically fetch and log the daily closing price for gold.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</si>
</sst>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0" tint="-0.249977111117893"/>
      <name val="Montserrat Medium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vertical="center"/>
    </xf>
    <xf numFmtId="1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left" vertical="center"/>
    </xf>
    <xf numFmtId="4" fontId="1" fillId="2" borderId="0" xfId="0" applyNumberFormat="1" applyFont="1" applyFill="1" applyAlignment="1">
      <alignment horizontal="left" vertical="center"/>
    </xf>
    <xf numFmtId="3" fontId="1" fillId="2" borderId="0" xfId="0" quotePrefix="1" applyNumberFormat="1" applyFont="1" applyFill="1" applyAlignment="1">
      <alignment horizontal="right" vertical="center"/>
    </xf>
    <xf numFmtId="14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8AC4-054F-4C4F-9733-7A5F3043E43A}">
  <dimension ref="A1:K38"/>
  <sheetViews>
    <sheetView zoomScale="137" workbookViewId="0">
      <selection activeCell="A8" sqref="A8"/>
    </sheetView>
  </sheetViews>
  <sheetFormatPr baseColWidth="10" defaultColWidth="30.83203125" defaultRowHeight="43" customHeight="1" x14ac:dyDescent="0.2"/>
  <cols>
    <col min="1" max="1" width="30.83203125" style="2"/>
    <col min="2" max="7" width="30.83203125" style="1"/>
    <col min="8" max="16384" width="30.83203125" style="2"/>
  </cols>
  <sheetData>
    <row r="1" spans="1:11" ht="43" customHeight="1" x14ac:dyDescent="0.2">
      <c r="C1" s="3">
        <v>45199</v>
      </c>
    </row>
    <row r="2" spans="1:11" ht="43" customHeight="1" x14ac:dyDescent="0.2">
      <c r="C2" s="3" t="s">
        <v>0</v>
      </c>
      <c r="D2" s="1">
        <v>2570</v>
      </c>
      <c r="G2" s="1">
        <v>100</v>
      </c>
      <c r="H2" s="2">
        <v>257000</v>
      </c>
      <c r="I2" s="2">
        <v>253000</v>
      </c>
      <c r="J2" s="2">
        <v>126500</v>
      </c>
      <c r="K2" s="2">
        <f>H2/G2</f>
        <v>2570</v>
      </c>
    </row>
    <row r="3" spans="1:11" ht="43" customHeight="1" x14ac:dyDescent="0.2">
      <c r="C3" s="3"/>
      <c r="G3" s="1">
        <v>50</v>
      </c>
      <c r="H3" s="2">
        <v>128500</v>
      </c>
      <c r="I3" s="2">
        <v>126500</v>
      </c>
      <c r="J3" s="2">
        <v>126500</v>
      </c>
    </row>
    <row r="4" spans="1:11" ht="43" customHeight="1" x14ac:dyDescent="0.2">
      <c r="C4" s="3"/>
      <c r="G4" s="1">
        <v>20</v>
      </c>
      <c r="H4" s="2">
        <v>51400</v>
      </c>
      <c r="I4" s="2">
        <v>50600</v>
      </c>
      <c r="J4" s="2">
        <v>50600</v>
      </c>
    </row>
    <row r="5" spans="1:11" ht="43" customHeight="1" x14ac:dyDescent="0.2">
      <c r="C5" s="3"/>
      <c r="G5" s="1">
        <v>10</v>
      </c>
      <c r="H5" s="2">
        <v>25800</v>
      </c>
      <c r="I5" s="2">
        <v>25300</v>
      </c>
      <c r="J5" s="2">
        <v>25300</v>
      </c>
    </row>
    <row r="6" spans="1:11" ht="43" customHeight="1" x14ac:dyDescent="0.2">
      <c r="C6" s="3"/>
    </row>
    <row r="7" spans="1:11" ht="43" customHeight="1" x14ac:dyDescent="0.2">
      <c r="A7" s="2" t="s">
        <v>1</v>
      </c>
      <c r="B7" s="1" t="s">
        <v>2</v>
      </c>
      <c r="C7" s="1" t="s">
        <v>7</v>
      </c>
      <c r="D7" s="1" t="s">
        <v>3</v>
      </c>
      <c r="E7" s="1" t="s">
        <v>4</v>
      </c>
      <c r="F7" s="1" t="s">
        <v>5</v>
      </c>
      <c r="G7" s="1" t="s">
        <v>6</v>
      </c>
    </row>
    <row r="8" spans="1:11" ht="43" customHeight="1" x14ac:dyDescent="0.2">
      <c r="A8" s="3">
        <v>45199</v>
      </c>
      <c r="B8" s="4">
        <v>30.9</v>
      </c>
      <c r="C8" s="1">
        <v>50</v>
      </c>
      <c r="D8" s="1">
        <v>2570</v>
      </c>
      <c r="E8" s="1">
        <f>D8/B8</f>
        <v>83.171521035598715</v>
      </c>
      <c r="F8" s="1">
        <f>D8*$C8</f>
        <v>128500</v>
      </c>
      <c r="G8" s="1">
        <f>E8*$C8</f>
        <v>4158.5760517799354</v>
      </c>
      <c r="H8" s="2">
        <f>G8*D8</f>
        <v>10687540.453074435</v>
      </c>
    </row>
    <row r="9" spans="1:11" ht="43" customHeight="1" x14ac:dyDescent="0.2">
      <c r="B9" s="4"/>
    </row>
    <row r="10" spans="1:11" ht="43" customHeight="1" x14ac:dyDescent="0.2">
      <c r="A10" s="3">
        <v>45915</v>
      </c>
      <c r="B10" s="4">
        <v>48.16</v>
      </c>
      <c r="C10" s="1">
        <v>50</v>
      </c>
      <c r="D10" s="1">
        <v>5742</v>
      </c>
      <c r="E10" s="1">
        <f>D10/B10</f>
        <v>119.22757475083057</v>
      </c>
      <c r="F10" s="1">
        <f>D10*$C10</f>
        <v>287100</v>
      </c>
      <c r="G10" s="1">
        <f>E10*$C10</f>
        <v>5961.3787375415286</v>
      </c>
      <c r="H10" s="2">
        <f>G10*D10</f>
        <v>34230236.710963458</v>
      </c>
    </row>
    <row r="11" spans="1:11" ht="43" customHeight="1" x14ac:dyDescent="0.2">
      <c r="B11" s="4"/>
    </row>
    <row r="12" spans="1:11" ht="43" customHeight="1" x14ac:dyDescent="0.2">
      <c r="A12" s="3">
        <v>45955</v>
      </c>
      <c r="B12" s="4">
        <v>47.5</v>
      </c>
      <c r="C12" s="1">
        <v>50</v>
      </c>
      <c r="D12" s="1">
        <v>6696</v>
      </c>
      <c r="E12" s="1">
        <f>D12/B12</f>
        <v>140.96842105263158</v>
      </c>
      <c r="F12" s="1">
        <f>D12*$C12</f>
        <v>334800</v>
      </c>
      <c r="G12" s="1">
        <f>E12*$C12</f>
        <v>7048.4210526315792</v>
      </c>
      <c r="H12" s="2">
        <f>G12*D12</f>
        <v>47196227.368421055</v>
      </c>
    </row>
    <row r="13" spans="1:11" ht="43" customHeight="1" x14ac:dyDescent="0.2">
      <c r="B13" s="4"/>
    </row>
    <row r="14" spans="1:11" ht="43" customHeight="1" x14ac:dyDescent="0.2">
      <c r="B14" s="4"/>
    </row>
    <row r="15" spans="1:11" ht="43" customHeight="1" x14ac:dyDescent="0.2">
      <c r="B15" s="4"/>
      <c r="D15" s="1">
        <f>E15*11*80</f>
        <v>44000</v>
      </c>
      <c r="E15" s="1">
        <v>50</v>
      </c>
      <c r="F15" s="1">
        <v>800</v>
      </c>
    </row>
    <row r="16" spans="1:11" ht="43" customHeight="1" x14ac:dyDescent="0.2">
      <c r="B16" s="4"/>
      <c r="F16" s="1">
        <f>F15*80</f>
        <v>64000</v>
      </c>
    </row>
    <row r="17" spans="2:5" ht="43" customHeight="1" x14ac:dyDescent="0.2">
      <c r="B17" s="4"/>
      <c r="E17" s="1">
        <v>200000</v>
      </c>
    </row>
    <row r="18" spans="2:5" ht="43" customHeight="1" x14ac:dyDescent="0.2">
      <c r="B18" s="4"/>
      <c r="E18" s="1">
        <f>E17*50</f>
        <v>10000000</v>
      </c>
    </row>
    <row r="19" spans="2:5" ht="43" customHeight="1" x14ac:dyDescent="0.2">
      <c r="B19" s="4"/>
    </row>
    <row r="20" spans="2:5" ht="43" customHeight="1" x14ac:dyDescent="0.2">
      <c r="B20" s="4"/>
    </row>
    <row r="21" spans="2:5" ht="43" customHeight="1" x14ac:dyDescent="0.2">
      <c r="B21" s="4"/>
    </row>
    <row r="22" spans="2:5" ht="43" customHeight="1" x14ac:dyDescent="0.2">
      <c r="B22" s="4"/>
    </row>
    <row r="23" spans="2:5" ht="43" customHeight="1" x14ac:dyDescent="0.2">
      <c r="B23" s="4"/>
    </row>
    <row r="24" spans="2:5" ht="43" customHeight="1" x14ac:dyDescent="0.2">
      <c r="B24" s="4"/>
    </row>
    <row r="25" spans="2:5" ht="43" customHeight="1" x14ac:dyDescent="0.2">
      <c r="B25" s="4"/>
    </row>
    <row r="26" spans="2:5" ht="43" customHeight="1" x14ac:dyDescent="0.2">
      <c r="B26" s="4"/>
    </row>
    <row r="27" spans="2:5" ht="43" customHeight="1" x14ac:dyDescent="0.2">
      <c r="B27" s="4"/>
    </row>
    <row r="28" spans="2:5" ht="43" customHeight="1" x14ac:dyDescent="0.2">
      <c r="B28" s="4"/>
    </row>
    <row r="29" spans="2:5" ht="43" customHeight="1" x14ac:dyDescent="0.2">
      <c r="B29" s="4"/>
    </row>
    <row r="30" spans="2:5" ht="43" customHeight="1" x14ac:dyDescent="0.2">
      <c r="B30" s="4"/>
    </row>
    <row r="31" spans="2:5" ht="43" customHeight="1" x14ac:dyDescent="0.2">
      <c r="B31" s="4"/>
    </row>
    <row r="32" spans="2:5" ht="43" customHeight="1" x14ac:dyDescent="0.2">
      <c r="B32" s="4"/>
    </row>
    <row r="33" spans="2:3" ht="43" customHeight="1" x14ac:dyDescent="0.2">
      <c r="B33" s="4"/>
    </row>
    <row r="34" spans="2:3" ht="43" customHeight="1" x14ac:dyDescent="0.2">
      <c r="B34" s="4"/>
    </row>
    <row r="35" spans="2:3" ht="43" customHeight="1" x14ac:dyDescent="0.2">
      <c r="B35" s="4"/>
    </row>
    <row r="36" spans="2:3" ht="43" customHeight="1" x14ac:dyDescent="0.2">
      <c r="B36" s="4"/>
    </row>
    <row r="37" spans="2:3" ht="43" customHeight="1" x14ac:dyDescent="0.2">
      <c r="C37" s="3"/>
    </row>
    <row r="38" spans="2:3" ht="43" customHeight="1" x14ac:dyDescent="0.2">
      <c r="C38" s="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5EEB-F15E-C547-A6D4-1779CB18C402}">
  <dimension ref="A1:I92"/>
  <sheetViews>
    <sheetView tabSelected="1" topLeftCell="B68" zoomScale="62" workbookViewId="0">
      <selection activeCell="E86" sqref="E86:I92"/>
    </sheetView>
  </sheetViews>
  <sheetFormatPr baseColWidth="10" defaultColWidth="30.83203125" defaultRowHeight="43" customHeight="1" x14ac:dyDescent="0.2"/>
  <cols>
    <col min="1" max="1" width="30.83203125" style="2"/>
    <col min="2" max="2" width="68.83203125" style="1" bestFit="1" customWidth="1"/>
    <col min="3" max="4" width="30.83203125" style="1"/>
    <col min="5" max="16384" width="30.83203125" style="2"/>
  </cols>
  <sheetData>
    <row r="1" spans="1:3" ht="43" customHeight="1" x14ac:dyDescent="0.2">
      <c r="C1" s="3"/>
    </row>
    <row r="2" spans="1:3" ht="43" customHeight="1" x14ac:dyDescent="0.2">
      <c r="C2" s="3"/>
    </row>
    <row r="3" spans="1:3" ht="43" customHeight="1" x14ac:dyDescent="0.2">
      <c r="C3" s="3"/>
    </row>
    <row r="4" spans="1:3" ht="43" customHeight="1" x14ac:dyDescent="0.2">
      <c r="C4" s="3"/>
    </row>
    <row r="5" spans="1:3" ht="43" customHeight="1" x14ac:dyDescent="0.2">
      <c r="A5" s="7" t="s">
        <v>61</v>
      </c>
      <c r="B5" s="5" t="s">
        <v>8</v>
      </c>
      <c r="C5" s="8" t="str">
        <f>_xlfn.CONCAT(A5,B5)</f>
        <v>-  Investment Portfolio Management dashboard</v>
      </c>
    </row>
    <row r="6" spans="1:3" ht="43" customHeight="1" x14ac:dyDescent="0.2">
      <c r="A6" s="7" t="s">
        <v>61</v>
      </c>
      <c r="B6" s="5" t="s">
        <v>9</v>
      </c>
      <c r="C6" s="8" t="str">
        <f t="shared" ref="C6:C57" si="0">_xlfn.CONCAT(A6,B6)</f>
        <v>-  Portfolio Management Dashboard</v>
      </c>
    </row>
    <row r="7" spans="1:3" ht="43" customHeight="1" x14ac:dyDescent="0.2">
      <c r="A7" s="7" t="s">
        <v>61</v>
      </c>
      <c r="B7" s="5" t="s">
        <v>10</v>
      </c>
      <c r="C7" s="8" t="str">
        <f t="shared" si="0"/>
        <v>-  Portfolio Dashboard Template</v>
      </c>
    </row>
    <row r="8" spans="1:3" ht="43" customHeight="1" x14ac:dyDescent="0.2">
      <c r="A8" s="7" t="s">
        <v>61</v>
      </c>
      <c r="B8" s="6" t="s">
        <v>11</v>
      </c>
      <c r="C8" s="8" t="str">
        <f t="shared" si="0"/>
        <v xml:space="preserve">-  Investments Dashboards </v>
      </c>
    </row>
    <row r="9" spans="1:3" ht="43" customHeight="1" x14ac:dyDescent="0.2">
      <c r="A9" s="7" t="s">
        <v>61</v>
      </c>
      <c r="B9" s="6" t="s">
        <v>12</v>
      </c>
      <c r="C9" s="8" t="str">
        <f t="shared" si="0"/>
        <v>-  Investment Admin Template</v>
      </c>
    </row>
    <row r="10" spans="1:3" ht="43" customHeight="1" x14ac:dyDescent="0.2">
      <c r="A10" s="7" t="s">
        <v>61</v>
      </c>
      <c r="B10" s="6" t="s">
        <v>13</v>
      </c>
      <c r="C10" s="8" t="str">
        <f t="shared" si="0"/>
        <v>-  Investment WebApp Template</v>
      </c>
    </row>
    <row r="11" spans="1:3" ht="43" customHeight="1" x14ac:dyDescent="0.2">
      <c r="A11" s="7" t="s">
        <v>61</v>
      </c>
      <c r="B11" s="6" t="s">
        <v>14</v>
      </c>
      <c r="C11" s="8" t="str">
        <f t="shared" si="0"/>
        <v>-  Mutual Funds Admin Template</v>
      </c>
    </row>
    <row r="12" spans="1:3" ht="43" customHeight="1" x14ac:dyDescent="0.2">
      <c r="A12" s="7" t="s">
        <v>61</v>
      </c>
      <c r="B12" s="6" t="s">
        <v>15</v>
      </c>
      <c r="C12" s="8" t="str">
        <f t="shared" si="0"/>
        <v>-  Investment Transactions Dashboard</v>
      </c>
    </row>
    <row r="13" spans="1:3" ht="43" customHeight="1" x14ac:dyDescent="0.2">
      <c r="A13" s="7" t="s">
        <v>61</v>
      </c>
      <c r="B13" s="6" t="s">
        <v>16</v>
      </c>
      <c r="C13" s="8" t="str">
        <f t="shared" si="0"/>
        <v>-  Investment Dashboard Ui Kit</v>
      </c>
    </row>
    <row r="14" spans="1:3" ht="43" customHeight="1" x14ac:dyDescent="0.2">
      <c r="A14" s="7" t="s">
        <v>61</v>
      </c>
      <c r="B14" s="6" t="s">
        <v>17</v>
      </c>
      <c r="C14" s="8" t="str">
        <f t="shared" si="0"/>
        <v xml:space="preserve">-  Invest Ui Framework </v>
      </c>
    </row>
    <row r="15" spans="1:3" ht="43" customHeight="1" x14ac:dyDescent="0.2">
      <c r="A15" s="7" t="s">
        <v>61</v>
      </c>
      <c r="B15" s="6" t="s">
        <v>18</v>
      </c>
      <c r="C15" s="8" t="str">
        <f t="shared" si="0"/>
        <v xml:space="preserve">-  Investment Software Admin Template </v>
      </c>
    </row>
    <row r="16" spans="1:3" ht="43" customHeight="1" x14ac:dyDescent="0.2">
      <c r="A16" s="7" t="s">
        <v>61</v>
      </c>
      <c r="B16" s="6" t="s">
        <v>19</v>
      </c>
      <c r="C16" s="8" t="str">
        <f t="shared" si="0"/>
        <v>-  Invest Software Dashboard</v>
      </c>
    </row>
    <row r="17" spans="1:3" ht="43" customHeight="1" x14ac:dyDescent="0.2">
      <c r="A17" s="7" t="s">
        <v>61</v>
      </c>
      <c r="B17" s="6" t="s">
        <v>20</v>
      </c>
      <c r="C17" s="8" t="str">
        <f t="shared" si="0"/>
        <v>-  dashboard html clean responsive template</v>
      </c>
    </row>
    <row r="18" spans="1:3" ht="43" customHeight="1" x14ac:dyDescent="0.2">
      <c r="A18" s="7" t="s">
        <v>61</v>
      </c>
      <c r="B18" s="6" t="s">
        <v>21</v>
      </c>
      <c r="C18" s="8" t="str">
        <f t="shared" si="0"/>
        <v>-  Creative Bootstrap Dashboard</v>
      </c>
    </row>
    <row r="19" spans="1:3" ht="43" customHeight="1" x14ac:dyDescent="0.2">
      <c r="A19" s="7" t="s">
        <v>61</v>
      </c>
      <c r="B19" s="6" t="s">
        <v>22</v>
      </c>
      <c r="C19" s="8" t="str">
        <f t="shared" si="0"/>
        <v>-  Bootstrap Admin Themes</v>
      </c>
    </row>
    <row r="20" spans="1:3" ht="43" customHeight="1" x14ac:dyDescent="0.2">
      <c r="A20" s="7" t="s">
        <v>61</v>
      </c>
      <c r="B20" s="6" t="s">
        <v>23</v>
      </c>
      <c r="C20" s="8" t="str">
        <f t="shared" si="0"/>
        <v>-  Multipurpose Admin Dashboard Template</v>
      </c>
    </row>
    <row r="21" spans="1:3" ht="43" customHeight="1" x14ac:dyDescent="0.2">
      <c r="A21" s="7" t="s">
        <v>61</v>
      </c>
      <c r="B21" s="6" t="s">
        <v>24</v>
      </c>
      <c r="C21" s="8" t="str">
        <f t="shared" si="0"/>
        <v>-  Light Bootstrap Dashboard</v>
      </c>
    </row>
    <row r="22" spans="1:3" ht="43" customHeight="1" x14ac:dyDescent="0.2">
      <c r="A22" s="7" t="s">
        <v>61</v>
      </c>
      <c r="B22" s="6" t="s">
        <v>25</v>
      </c>
      <c r="C22" s="8" t="str">
        <f t="shared" si="0"/>
        <v>-  Bootstrap website templates</v>
      </c>
    </row>
    <row r="23" spans="1:3" ht="43" customHeight="1" x14ac:dyDescent="0.2">
      <c r="A23" s="7" t="s">
        <v>61</v>
      </c>
      <c r="B23" s="6" t="s">
        <v>26</v>
      </c>
      <c r="C23" s="8" t="str">
        <f t="shared" si="0"/>
        <v>-  Bootstrap UI Toolkits</v>
      </c>
    </row>
    <row r="24" spans="1:3" ht="43" customHeight="1" x14ac:dyDescent="0.2">
      <c r="A24" s="7" t="s">
        <v>61</v>
      </c>
      <c r="B24" s="6" t="s">
        <v>27</v>
      </c>
      <c r="C24" s="8" t="str">
        <f t="shared" si="0"/>
        <v>-  HTML admin dashboard template</v>
      </c>
    </row>
    <row r="25" spans="1:3" ht="43" customHeight="1" x14ac:dyDescent="0.2">
      <c r="A25" s="7" t="s">
        <v>61</v>
      </c>
      <c r="B25" s="6" t="s">
        <v>28</v>
      </c>
      <c r="C25" s="8" t="str">
        <f t="shared" si="0"/>
        <v>-  HTML5 Admin Dashboard Template</v>
      </c>
    </row>
    <row r="26" spans="1:3" ht="43" customHeight="1" x14ac:dyDescent="0.2">
      <c r="A26" s="7" t="s">
        <v>61</v>
      </c>
      <c r="B26" s="6" t="s">
        <v>29</v>
      </c>
      <c r="C26" s="8" t="str">
        <f t="shared" si="0"/>
        <v>-  Bootstrap Admin Dashboard designs</v>
      </c>
    </row>
    <row r="27" spans="1:3" ht="43" customHeight="1" x14ac:dyDescent="0.2">
      <c r="A27" s="7" t="s">
        <v>61</v>
      </c>
      <c r="B27" s="6" t="s">
        <v>30</v>
      </c>
      <c r="C27" s="8" t="str">
        <f t="shared" si="0"/>
        <v>-  admin template based on Bootstrap</v>
      </c>
    </row>
    <row r="28" spans="1:3" ht="43" customHeight="1" x14ac:dyDescent="0.2">
      <c r="A28" s="7" t="s">
        <v>61</v>
      </c>
      <c r="B28" s="6" t="s">
        <v>31</v>
      </c>
      <c r="C28" s="8" t="str">
        <f t="shared" si="0"/>
        <v>-  Bootstrap frameworks</v>
      </c>
    </row>
    <row r="29" spans="1:3" ht="43" customHeight="1" x14ac:dyDescent="0.2">
      <c r="A29" s="7" t="s">
        <v>61</v>
      </c>
      <c r="B29" s="6" t="s">
        <v>32</v>
      </c>
      <c r="C29" s="8" t="str">
        <f t="shared" si="0"/>
        <v>-  Bootstrap admin and dashboard templates</v>
      </c>
    </row>
    <row r="30" spans="1:3" ht="43" customHeight="1" x14ac:dyDescent="0.2">
      <c r="A30" s="7" t="s">
        <v>61</v>
      </c>
      <c r="B30" s="6" t="s">
        <v>33</v>
      </c>
      <c r="C30" s="8" t="str">
        <f t="shared" si="0"/>
        <v>-  admin template based on Bootstrap framework</v>
      </c>
    </row>
    <row r="31" spans="1:3" ht="43" customHeight="1" x14ac:dyDescent="0.2">
      <c r="A31" s="7" t="s">
        <v>61</v>
      </c>
      <c r="B31" s="6" t="s">
        <v>34</v>
      </c>
      <c r="C31" s="8" t="str">
        <f t="shared" si="0"/>
        <v>-  Premium Admin dashboard Template</v>
      </c>
    </row>
    <row r="32" spans="1:3" ht="43" customHeight="1" x14ac:dyDescent="0.2">
      <c r="A32" s="7" t="s">
        <v>61</v>
      </c>
      <c r="B32" s="6" t="s">
        <v>35</v>
      </c>
      <c r="C32" s="8" t="str">
        <f t="shared" si="0"/>
        <v>-  Bootstrap simple admin template</v>
      </c>
    </row>
    <row r="33" spans="1:7" ht="43" customHeight="1" x14ac:dyDescent="0.2">
      <c r="A33" s="7" t="s">
        <v>61</v>
      </c>
      <c r="B33" s="6" t="s">
        <v>36</v>
      </c>
      <c r="C33" s="8" t="str">
        <f t="shared" si="0"/>
        <v>-  Bootstrap admin theme</v>
      </c>
    </row>
    <row r="34" spans="1:7" ht="43" customHeight="1" x14ac:dyDescent="0.2">
      <c r="A34" s="7" t="s">
        <v>61</v>
      </c>
      <c r="B34" s="6" t="s">
        <v>37</v>
      </c>
      <c r="C34" s="8" t="str">
        <f t="shared" si="0"/>
        <v>-  responsive admin templates</v>
      </c>
    </row>
    <row r="35" spans="1:7" ht="43" customHeight="1" x14ac:dyDescent="0.2">
      <c r="A35" s="7" t="s">
        <v>61</v>
      </c>
      <c r="B35" s="6" t="s">
        <v>38</v>
      </c>
      <c r="C35" s="8" t="str">
        <f t="shared" si="0"/>
        <v>-  premium Bootstrap admin templates</v>
      </c>
    </row>
    <row r="36" spans="1:7" ht="43" customHeight="1" x14ac:dyDescent="0.2">
      <c r="A36" s="7" t="s">
        <v>61</v>
      </c>
      <c r="B36" s="6" t="s">
        <v>39</v>
      </c>
      <c r="C36" s="8" t="str">
        <f t="shared" si="0"/>
        <v>-  Admin Dashboard &amp; WebApp Template</v>
      </c>
    </row>
    <row r="37" spans="1:7" ht="43" customHeight="1" x14ac:dyDescent="0.2">
      <c r="A37" s="7" t="s">
        <v>61</v>
      </c>
      <c r="B37" s="5" t="s">
        <v>40</v>
      </c>
      <c r="C37" s="8" t="str">
        <f t="shared" si="0"/>
        <v>-  Bootstrap Dashboard Designs</v>
      </c>
    </row>
    <row r="38" spans="1:7" ht="43" customHeight="1" x14ac:dyDescent="0.2">
      <c r="A38" s="7" t="s">
        <v>61</v>
      </c>
      <c r="B38" s="5" t="s">
        <v>41</v>
      </c>
      <c r="C38" s="8" t="str">
        <f t="shared" si="0"/>
        <v>-  responsive administration template</v>
      </c>
    </row>
    <row r="39" spans="1:7" ht="43" customHeight="1" x14ac:dyDescent="0.2">
      <c r="A39" s="7" t="s">
        <v>61</v>
      </c>
      <c r="B39" s="5" t="s">
        <v>42</v>
      </c>
      <c r="C39" s="8" t="str">
        <f t="shared" si="0"/>
        <v>-  WebApp Dahsboard UI</v>
      </c>
    </row>
    <row r="40" spans="1:7" ht="43" customHeight="1" x14ac:dyDescent="0.2">
      <c r="A40" s="7" t="s">
        <v>61</v>
      </c>
      <c r="B40" s="5" t="s">
        <v>43</v>
      </c>
      <c r="C40" s="8" t="str">
        <f t="shared" si="0"/>
        <v>-  Control panel theme</v>
      </c>
    </row>
    <row r="41" spans="1:7" ht="43" customHeight="1" x14ac:dyDescent="0.2">
      <c r="A41" s="7" t="s">
        <v>61</v>
      </c>
      <c r="B41" s="5" t="s">
        <v>44</v>
      </c>
      <c r="C41" s="8" t="str">
        <f t="shared" si="0"/>
        <v>-  Bootstrap Admin Templates Webapps</v>
      </c>
    </row>
    <row r="42" spans="1:7" ht="43" customHeight="1" x14ac:dyDescent="0.2">
      <c r="A42" s="7" t="s">
        <v>61</v>
      </c>
      <c r="B42" s="5" t="s">
        <v>45</v>
      </c>
      <c r="C42" s="8" t="str">
        <f t="shared" si="0"/>
        <v>-  Bootstrap Admin Dashboard Templates 2025</v>
      </c>
    </row>
    <row r="43" spans="1:7" ht="43" customHeight="1" x14ac:dyDescent="0.2">
      <c r="A43" s="7" t="s">
        <v>61</v>
      </c>
      <c r="B43" s="5" t="s">
        <v>46</v>
      </c>
      <c r="C43" s="8" t="str">
        <f t="shared" si="0"/>
        <v>-  Bootstrap designed dashboard theme</v>
      </c>
    </row>
    <row r="44" spans="1:7" ht="43" customHeight="1" x14ac:dyDescent="0.2">
      <c r="A44" s="7" t="s">
        <v>61</v>
      </c>
      <c r="B44" s="5" t="s">
        <v>47</v>
      </c>
      <c r="C44" s="8" t="str">
        <f t="shared" si="0"/>
        <v>-  Bootstrap Dashboard Clean Design</v>
      </c>
      <c r="E44" s="2" t="s">
        <v>62</v>
      </c>
      <c r="F44" s="2" t="s">
        <v>63</v>
      </c>
      <c r="G44" s="2" t="s">
        <v>64</v>
      </c>
    </row>
    <row r="45" spans="1:7" ht="43" customHeight="1" x14ac:dyDescent="0.2">
      <c r="A45" s="7" t="s">
        <v>61</v>
      </c>
      <c r="B45" s="5" t="s">
        <v>48</v>
      </c>
      <c r="C45" s="8" t="str">
        <f t="shared" si="0"/>
        <v>-  Bootstrap framework</v>
      </c>
      <c r="E45" s="2" t="s">
        <v>65</v>
      </c>
      <c r="F45" s="2" t="s">
        <v>66</v>
      </c>
      <c r="G45" s="2" t="s">
        <v>67</v>
      </c>
    </row>
    <row r="46" spans="1:7" ht="43" customHeight="1" x14ac:dyDescent="0.2">
      <c r="A46" s="7" t="s">
        <v>61</v>
      </c>
      <c r="B46" s="5" t="s">
        <v>49</v>
      </c>
      <c r="C46" s="8" t="str">
        <f t="shared" si="0"/>
        <v>-  open source admin dashboard</v>
      </c>
      <c r="E46" s="2" t="s">
        <v>68</v>
      </c>
      <c r="F46" s="2" t="s">
        <v>69</v>
      </c>
      <c r="G46" s="2" t="s">
        <v>70</v>
      </c>
    </row>
    <row r="47" spans="1:7" ht="43" customHeight="1" x14ac:dyDescent="0.2">
      <c r="A47" s="7" t="s">
        <v>61</v>
      </c>
      <c r="B47" s="5" t="s">
        <v>50</v>
      </c>
      <c r="C47" s="8" t="str">
        <f t="shared" si="0"/>
        <v>-  css grid admin template</v>
      </c>
      <c r="E47" s="2" t="s">
        <v>71</v>
      </c>
      <c r="F47" s="2" t="s">
        <v>72</v>
      </c>
      <c r="G47" s="2" t="s">
        <v>73</v>
      </c>
    </row>
    <row r="48" spans="1:7" ht="43" customHeight="1" x14ac:dyDescent="0.2">
      <c r="A48" s="7" t="s">
        <v>61</v>
      </c>
      <c r="B48" s="5" t="s">
        <v>51</v>
      </c>
      <c r="C48" s="8" t="str">
        <f t="shared" si="0"/>
        <v>-  css grid admin layout</v>
      </c>
      <c r="E48" s="2" t="s">
        <v>74</v>
      </c>
      <c r="F48" s="2" t="s">
        <v>75</v>
      </c>
      <c r="G48" s="2" t="s">
        <v>76</v>
      </c>
    </row>
    <row r="49" spans="1:7" ht="43" customHeight="1" x14ac:dyDescent="0.2">
      <c r="A49" s="7" t="s">
        <v>61</v>
      </c>
      <c r="B49" s="5" t="s">
        <v>52</v>
      </c>
      <c r="C49" s="8" t="str">
        <f t="shared" si="0"/>
        <v>-  html css admin</v>
      </c>
      <c r="E49" s="2" t="s">
        <v>77</v>
      </c>
      <c r="F49" s="2" t="s">
        <v>78</v>
      </c>
      <c r="G49" s="2" t="s">
        <v>79</v>
      </c>
    </row>
    <row r="50" spans="1:7" ht="43" customHeight="1" x14ac:dyDescent="0.2">
      <c r="A50" s="7" t="s">
        <v>61</v>
      </c>
      <c r="B50" s="5" t="s">
        <v>53</v>
      </c>
      <c r="C50" s="8" t="str">
        <f t="shared" si="0"/>
        <v>-  responsive admin dashboard template html css</v>
      </c>
      <c r="E50" s="2" t="s">
        <v>80</v>
      </c>
      <c r="F50" s="2" t="s">
        <v>81</v>
      </c>
      <c r="G50" s="2" t="s">
        <v>82</v>
      </c>
    </row>
    <row r="51" spans="1:7" ht="43" customHeight="1" x14ac:dyDescent="0.2">
      <c r="A51" s="7" t="s">
        <v>61</v>
      </c>
      <c r="B51" s="5" t="s">
        <v>54</v>
      </c>
      <c r="C51" s="8" t="str">
        <f t="shared" si="0"/>
        <v>-  admin page</v>
      </c>
      <c r="E51" s="2" t="s">
        <v>83</v>
      </c>
      <c r="F51" s="2" t="s">
        <v>84</v>
      </c>
      <c r="G51" s="2" t="s">
        <v>85</v>
      </c>
    </row>
    <row r="52" spans="1:7" ht="43" customHeight="1" x14ac:dyDescent="0.2">
      <c r="A52" s="7" t="s">
        <v>61</v>
      </c>
      <c r="B52" s="5" t="s">
        <v>55</v>
      </c>
      <c r="C52" s="8" t="str">
        <f t="shared" si="0"/>
        <v>-  admin page html css</v>
      </c>
      <c r="E52" s="2" t="s">
        <v>86</v>
      </c>
      <c r="F52" s="2" t="s">
        <v>87</v>
      </c>
      <c r="G52" s="2" t="s">
        <v>88</v>
      </c>
    </row>
    <row r="53" spans="1:7" ht="43" customHeight="1" x14ac:dyDescent="0.2">
      <c r="A53" s="7" t="s">
        <v>61</v>
      </c>
      <c r="B53" s="5" t="s">
        <v>56</v>
      </c>
      <c r="C53" s="8" t="str">
        <f t="shared" si="0"/>
        <v>-  sidebar menu html css</v>
      </c>
      <c r="E53" s="2" t="s">
        <v>89</v>
      </c>
      <c r="F53" s="2" t="s">
        <v>90</v>
      </c>
      <c r="G53" s="2" t="s">
        <v>93</v>
      </c>
    </row>
    <row r="54" spans="1:7" ht="43" customHeight="1" x14ac:dyDescent="0.2">
      <c r="A54" s="7" t="s">
        <v>61</v>
      </c>
      <c r="B54" s="5" t="s">
        <v>57</v>
      </c>
      <c r="C54" s="8" t="str">
        <f t="shared" si="0"/>
        <v>-  sidebar html css</v>
      </c>
      <c r="E54" s="2" t="s">
        <v>91</v>
      </c>
      <c r="F54" s="2" t="s">
        <v>92</v>
      </c>
      <c r="G54" s="2" t="s">
        <v>94</v>
      </c>
    </row>
    <row r="55" spans="1:7" ht="43" customHeight="1" x14ac:dyDescent="0.2">
      <c r="A55" s="7" t="s">
        <v>61</v>
      </c>
      <c r="B55" s="5" t="s">
        <v>58</v>
      </c>
      <c r="C55" s="8" t="str">
        <f t="shared" si="0"/>
        <v>-  html sidebar menu</v>
      </c>
    </row>
    <row r="56" spans="1:7" ht="43" customHeight="1" x14ac:dyDescent="0.2">
      <c r="A56" s="7" t="s">
        <v>61</v>
      </c>
      <c r="B56" s="5" t="s">
        <v>59</v>
      </c>
      <c r="C56" s="8" t="str">
        <f t="shared" si="0"/>
        <v>-  css sidebar menu</v>
      </c>
    </row>
    <row r="57" spans="1:7" ht="43" customHeight="1" x14ac:dyDescent="0.2">
      <c r="A57" s="7" t="s">
        <v>61</v>
      </c>
      <c r="B57" s="5" t="s">
        <v>60</v>
      </c>
      <c r="C57" s="8" t="str">
        <f t="shared" si="0"/>
        <v>-  code resource</v>
      </c>
      <c r="E57" s="2" t="s">
        <v>109</v>
      </c>
      <c r="F57" s="2" t="s">
        <v>95</v>
      </c>
      <c r="G57" s="2" t="s">
        <v>96</v>
      </c>
    </row>
    <row r="58" spans="1:7" ht="43" customHeight="1" x14ac:dyDescent="0.2">
      <c r="E58" s="2" t="s">
        <v>97</v>
      </c>
      <c r="F58" s="2" t="s">
        <v>98</v>
      </c>
      <c r="G58" s="2" t="s">
        <v>99</v>
      </c>
    </row>
    <row r="59" spans="1:7" ht="43" customHeight="1" x14ac:dyDescent="0.2">
      <c r="E59" s="2" t="s">
        <v>100</v>
      </c>
      <c r="F59" s="2" t="s">
        <v>101</v>
      </c>
      <c r="G59" s="2" t="s">
        <v>107</v>
      </c>
    </row>
    <row r="60" spans="1:7" ht="43" customHeight="1" x14ac:dyDescent="0.2">
      <c r="E60" s="2" t="s">
        <v>102</v>
      </c>
      <c r="F60" s="2" t="s">
        <v>103</v>
      </c>
      <c r="G60" s="2" t="s">
        <v>108</v>
      </c>
    </row>
    <row r="61" spans="1:7" ht="43" customHeight="1" x14ac:dyDescent="0.2">
      <c r="E61" s="2" t="s">
        <v>104</v>
      </c>
      <c r="F61" s="2" t="s">
        <v>105</v>
      </c>
      <c r="G61" s="2" t="s">
        <v>106</v>
      </c>
    </row>
    <row r="63" spans="1:7" ht="43" customHeight="1" x14ac:dyDescent="0.2">
      <c r="E63" s="2" t="s">
        <v>109</v>
      </c>
      <c r="F63" s="2" t="s">
        <v>95</v>
      </c>
      <c r="G63" s="2" t="s">
        <v>96</v>
      </c>
    </row>
    <row r="64" spans="1:7" ht="43" customHeight="1" x14ac:dyDescent="0.2">
      <c r="E64" s="2" t="s">
        <v>110</v>
      </c>
      <c r="F64" s="2" t="s">
        <v>111</v>
      </c>
      <c r="G64" s="2" t="s">
        <v>121</v>
      </c>
    </row>
    <row r="65" spans="5:7" ht="43" customHeight="1" x14ac:dyDescent="0.2">
      <c r="E65" s="2" t="s">
        <v>112</v>
      </c>
      <c r="F65" s="2" t="s">
        <v>71</v>
      </c>
      <c r="G65" s="2" t="s">
        <v>122</v>
      </c>
    </row>
    <row r="66" spans="5:7" ht="43" customHeight="1" x14ac:dyDescent="0.2">
      <c r="E66" s="2" t="s">
        <v>113</v>
      </c>
      <c r="F66" s="2" t="s">
        <v>114</v>
      </c>
      <c r="G66" s="2" t="s">
        <v>115</v>
      </c>
    </row>
    <row r="67" spans="5:7" ht="43" customHeight="1" x14ac:dyDescent="0.2">
      <c r="E67" s="2" t="s">
        <v>116</v>
      </c>
      <c r="F67" s="2" t="s">
        <v>117</v>
      </c>
      <c r="G67" s="2" t="s">
        <v>123</v>
      </c>
    </row>
    <row r="68" spans="5:7" ht="43" customHeight="1" x14ac:dyDescent="0.2">
      <c r="E68" s="2" t="s">
        <v>118</v>
      </c>
      <c r="F68" s="2" t="s">
        <v>119</v>
      </c>
      <c r="G68" s="2" t="s">
        <v>120</v>
      </c>
    </row>
    <row r="70" spans="5:7" ht="43" customHeight="1" x14ac:dyDescent="0.2">
      <c r="E70" s="2" t="s">
        <v>109</v>
      </c>
      <c r="F70" s="2" t="s">
        <v>95</v>
      </c>
      <c r="G70" s="2" t="s">
        <v>96</v>
      </c>
    </row>
    <row r="71" spans="5:7" ht="43" customHeight="1" x14ac:dyDescent="0.2">
      <c r="E71" s="2" t="s">
        <v>124</v>
      </c>
      <c r="F71" s="2" t="s">
        <v>125</v>
      </c>
      <c r="G71" s="2" t="s">
        <v>126</v>
      </c>
    </row>
    <row r="72" spans="5:7" ht="43" customHeight="1" x14ac:dyDescent="0.2">
      <c r="E72" s="2" t="s">
        <v>127</v>
      </c>
      <c r="F72" s="2" t="s">
        <v>128</v>
      </c>
      <c r="G72" s="2" t="s">
        <v>143</v>
      </c>
    </row>
    <row r="73" spans="5:7" ht="43" customHeight="1" x14ac:dyDescent="0.2">
      <c r="E73" s="2" t="s">
        <v>129</v>
      </c>
      <c r="F73" s="2" t="s">
        <v>130</v>
      </c>
      <c r="G73" s="2" t="s">
        <v>131</v>
      </c>
    </row>
    <row r="74" spans="5:7" ht="43" customHeight="1" x14ac:dyDescent="0.2">
      <c r="E74" s="2" t="s">
        <v>132</v>
      </c>
      <c r="F74" s="2" t="s">
        <v>133</v>
      </c>
      <c r="G74" s="2" t="s">
        <v>134</v>
      </c>
    </row>
    <row r="75" spans="5:7" ht="43" customHeight="1" x14ac:dyDescent="0.2">
      <c r="E75" s="2" t="s">
        <v>135</v>
      </c>
      <c r="F75" s="2" t="s">
        <v>136</v>
      </c>
      <c r="G75" s="2" t="s">
        <v>137</v>
      </c>
    </row>
    <row r="76" spans="5:7" ht="43" customHeight="1" x14ac:dyDescent="0.2">
      <c r="E76" s="2" t="s">
        <v>138</v>
      </c>
      <c r="F76" s="2" t="s">
        <v>105</v>
      </c>
      <c r="G76" s="2" t="s">
        <v>139</v>
      </c>
    </row>
    <row r="77" spans="5:7" ht="43" customHeight="1" x14ac:dyDescent="0.2">
      <c r="E77" s="2" t="s">
        <v>140</v>
      </c>
      <c r="F77" s="2" t="s">
        <v>141</v>
      </c>
      <c r="G77" s="2" t="s">
        <v>142</v>
      </c>
    </row>
    <row r="79" spans="5:7" ht="43" customHeight="1" x14ac:dyDescent="0.2">
      <c r="E79" s="2" t="s">
        <v>144</v>
      </c>
      <c r="F79" s="2" t="s">
        <v>145</v>
      </c>
      <c r="G79" s="2" t="s">
        <v>146</v>
      </c>
    </row>
    <row r="80" spans="5:7" ht="43" customHeight="1" x14ac:dyDescent="0.2">
      <c r="E80" s="2" t="s">
        <v>147</v>
      </c>
      <c r="F80" s="2" t="s">
        <v>148</v>
      </c>
      <c r="G80" s="2" t="s">
        <v>149</v>
      </c>
    </row>
    <row r="81" spans="5:9" ht="43" customHeight="1" x14ac:dyDescent="0.2">
      <c r="E81" s="2" t="s">
        <v>150</v>
      </c>
      <c r="F81" s="2" t="s">
        <v>151</v>
      </c>
      <c r="G81" s="2" t="s">
        <v>152</v>
      </c>
    </row>
    <row r="82" spans="5:9" ht="43" customHeight="1" x14ac:dyDescent="0.2">
      <c r="E82" s="2" t="s">
        <v>153</v>
      </c>
      <c r="F82" s="2" t="s">
        <v>154</v>
      </c>
      <c r="G82" s="2" t="s">
        <v>155</v>
      </c>
    </row>
    <row r="83" spans="5:9" ht="43" customHeight="1" x14ac:dyDescent="0.2">
      <c r="E83" s="2" t="s">
        <v>156</v>
      </c>
      <c r="F83" s="2" t="s">
        <v>157</v>
      </c>
      <c r="G83" s="2" t="s">
        <v>158</v>
      </c>
    </row>
    <row r="86" spans="5:9" ht="43" customHeight="1" x14ac:dyDescent="0.2">
      <c r="E86" s="2" t="s">
        <v>109</v>
      </c>
      <c r="F86" s="2" t="s">
        <v>159</v>
      </c>
      <c r="G86" s="2" t="s">
        <v>160</v>
      </c>
      <c r="H86" s="2" t="s">
        <v>161</v>
      </c>
      <c r="I86" s="2" t="s">
        <v>162</v>
      </c>
    </row>
    <row r="87" spans="5:9" ht="43" customHeight="1" x14ac:dyDescent="0.2">
      <c r="E87" s="2" t="s">
        <v>163</v>
      </c>
      <c r="F87" s="2" t="s">
        <v>164</v>
      </c>
      <c r="G87" s="2" t="s">
        <v>182</v>
      </c>
      <c r="H87" s="2" t="s">
        <v>165</v>
      </c>
      <c r="I87" s="2" t="s">
        <v>166</v>
      </c>
    </row>
    <row r="88" spans="5:9" ht="43" customHeight="1" x14ac:dyDescent="0.2">
      <c r="E88" s="2" t="s">
        <v>167</v>
      </c>
      <c r="F88" s="2" t="s">
        <v>164</v>
      </c>
      <c r="G88" s="2" t="s">
        <v>168</v>
      </c>
      <c r="H88" s="2" t="s">
        <v>169</v>
      </c>
      <c r="I88" s="2" t="s">
        <v>166</v>
      </c>
    </row>
    <row r="89" spans="5:9" ht="43" customHeight="1" x14ac:dyDescent="0.2">
      <c r="E89" s="2" t="s">
        <v>170</v>
      </c>
      <c r="F89" s="2" t="s">
        <v>164</v>
      </c>
      <c r="G89" s="2" t="s">
        <v>171</v>
      </c>
      <c r="H89" s="2" t="s">
        <v>172</v>
      </c>
      <c r="I89" s="2" t="s">
        <v>166</v>
      </c>
    </row>
    <row r="90" spans="5:9" ht="43" customHeight="1" x14ac:dyDescent="0.2">
      <c r="E90" s="2" t="s">
        <v>173</v>
      </c>
      <c r="F90" s="2" t="s">
        <v>164</v>
      </c>
      <c r="G90" s="2" t="s">
        <v>183</v>
      </c>
      <c r="H90" s="2" t="s">
        <v>174</v>
      </c>
      <c r="I90" s="2" t="s">
        <v>166</v>
      </c>
    </row>
    <row r="91" spans="5:9" ht="43" customHeight="1" x14ac:dyDescent="0.2">
      <c r="E91" s="2" t="s">
        <v>175</v>
      </c>
      <c r="F91" s="2" t="s">
        <v>176</v>
      </c>
      <c r="G91" s="2" t="s">
        <v>184</v>
      </c>
      <c r="H91" s="2" t="s">
        <v>177</v>
      </c>
      <c r="I91" s="2" t="s">
        <v>178</v>
      </c>
    </row>
    <row r="92" spans="5:9" ht="43" customHeight="1" x14ac:dyDescent="0.2">
      <c r="E92" s="2" t="s">
        <v>179</v>
      </c>
      <c r="F92" s="2" t="s">
        <v>164</v>
      </c>
      <c r="G92" s="2" t="s">
        <v>180</v>
      </c>
      <c r="H92" s="2" t="s">
        <v>181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gold-calc</vt:lpstr>
      <vt:lpstr>InvDashboard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Konna</dc:creator>
  <cp:lastModifiedBy>akonna konna</cp:lastModifiedBy>
  <dcterms:created xsi:type="dcterms:W3CDTF">2023-09-30T14:38:42Z</dcterms:created>
  <dcterms:modified xsi:type="dcterms:W3CDTF">2025-11-08T18:07:23Z</dcterms:modified>
</cp:coreProperties>
</file>